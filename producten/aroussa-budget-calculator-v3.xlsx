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etalingstracker" sheetId="2" state="visible" r:id="rId4"/>
    <sheet name="Prijsbenchmarks NL 2025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<sst xmlns="http://schemas.openxmlformats.org/spreadsheetml/2006/main" count="168" uniqueCount="144">
  <si>
    <t xml:space="preserve">AROUSSA · aroussaplanner.com · © 2026 · Persoonlijk exemplaar</t>
  </si>
  <si>
    <t xml:space="preserve">Naam klant:</t>
  </si>
  <si>
    <t xml:space="preserve">Bestelcode:</t>
  </si>
  <si>
    <t xml:space="preserve">Dit bestand is persoonlijk en niet overdraagbaar. Elk exemplaar bevat een unieke klantidentificatie. Delen is auteursrechtinbreuk.</t>
  </si>
  <si>
    <t xml:space="preserve">Budget Calculator — Marokkaanse Bruiloft</t>
  </si>
  <si>
    <t xml:space="preserve">Aroussa · De Online Wedding Planner van Nederland · aroussaplanner.com</t>
  </si>
  <si>
    <t xml:space="preserve">Verwacht aantal gasten:</t>
  </si>
  <si>
    <t xml:space="preserve">← Vul hier het aantal gasten in (bv. 200 of 300)</t>
  </si>
  <si>
    <t xml:space="preserve">Mijn totale feestbudget (€):</t>
  </si>
  <si>
    <t xml:space="preserve">← Vul hier jouw totale budget in (bv. 25000 of 35000)</t>
  </si>
  <si>
    <t xml:space="preserve">Kostenpost</t>
  </si>
  <si>
    <t xml:space="preserve">Aanbevolen %</t>
  </si>
  <si>
    <t xml:space="preserve">Aanbevolen €</t>
  </si>
  <si>
    <t xml:space="preserve">Min. NL 2025</t>
  </si>
  <si>
    <t xml:space="preserve">Max. NL 2025</t>
  </si>
  <si>
    <t xml:space="preserve">Mijn budget €</t>
  </si>
  <si>
    <t xml:space="preserve">Offerte €</t>
  </si>
  <si>
    <t xml:space="preserve">Feestzaal &amp; locatie</t>
  </si>
  <si>
    <t xml:space="preserve">Catering (eten &amp; dranken)</t>
  </si>
  <si>
    <t xml:space="preserve">Ziana / Bridalstylist</t>
  </si>
  <si>
    <t xml:space="preserve">Fotografie &amp; video</t>
  </si>
  <si>
    <t xml:space="preserve">Decoratie &amp; styling</t>
  </si>
  <si>
    <t xml:space="preserve">Muziek (DJ + groep/dakka)</t>
  </si>
  <si>
    <t xml:space="preserve">Caftans &amp; lebsa's (huur/koop)</t>
  </si>
  <si>
    <t xml:space="preserve">Henna-avond (apart)</t>
  </si>
  <si>
    <t xml:space="preserve">3amaria &amp; specials</t>
  </si>
  <si>
    <t xml:space="preserve">Diversen &amp; noodbudget</t>
  </si>
  <si>
    <t xml:space="preserve">4-6% van budget</t>
  </si>
  <si>
    <t xml:space="preserve">TOTAAL</t>
  </si>
  <si>
    <t xml:space="preserve">Resterend van totaalbudget</t>
  </si>
  <si>
    <t xml:space="preserve">Let op: Catering min/max is berekend als prijs per persoon × aantal gasten (cel D8). Budget/Kleine zaal: €35 p.p. · Midden: €50-60 p.p. · Luxe: €65-80 p.p. Voor 200 gasten bij €60 p.p. = €12.000 catering.</t>
  </si>
  <si>
    <t xml:space="preserve">SCENARIO REFERENTIE — Realistische totaalbudgetten Marokkaanse bruiloft NL</t>
  </si>
  <si>
    <t xml:space="preserve">Type</t>
  </si>
  <si>
    <t xml:space="preserve">Gasten</t>
  </si>
  <si>
    <t xml:space="preserve">Totaal indicatie</t>
  </si>
  <si>
    <t xml:space="preserve">Wat je ervoor krijgt</t>
  </si>
  <si>
    <t xml:space="preserve">Budget bruiloft</t>
  </si>
  <si>
    <t xml:space="preserve">150 gasten</t>
  </si>
  <si>
    <t xml:space="preserve">€ 15.000 tot € 22.000</t>
  </si>
  <si>
    <t xml:space="preserve">Zaal eigen catering, lokale ziana, basis fotograaf</t>
  </si>
  <si>
    <t xml:space="preserve">Gemiddeld</t>
  </si>
  <si>
    <t xml:space="preserve">200 gasten</t>
  </si>
  <si>
    <t xml:space="preserve">€ 22.000 tot € 32.000</t>
  </si>
  <si>
    <t xml:space="preserve">Goede zaal, catering €50-60 p.p., ervaren ziana</t>
  </si>
  <si>
    <t xml:space="preserve">Luxe</t>
  </si>
  <si>
    <t xml:space="preserve">250 gasten</t>
  </si>
  <si>
    <t xml:space="preserve">€ 32.000 tot € 45.000</t>
  </si>
  <si>
    <t xml:space="preserve">Topzaal (Maxima/De Koning), luxe catering, exclusive ziana</t>
  </si>
  <si>
    <t xml:space="preserve">Premium</t>
  </si>
  <si>
    <t xml:space="preserve">300+ gasten</t>
  </si>
  <si>
    <t xml:space="preserve">€ 45.000 tot € 60.000+</t>
  </si>
  <si>
    <t xml:space="preserve">Exclusieve zaal, meerdaags feest, alles uit de kast</t>
  </si>
  <si>
    <t xml:space="preserve">AROUSSA · Betalingstracker · Persoonlijk exemplaar · aroussaplanner.com</t>
  </si>
  <si>
    <t xml:space="preserve">Betalingstracker</t>
  </si>
  <si>
    <t xml:space="preserve">Houd hier elke betaling bij. Altijd contract tekenen vóór betaling. Nooit het volledige bedrag vooraf. Bewaar altijd de factuur.</t>
  </si>
  <si>
    <t xml:space="preserve">Leverancier</t>
  </si>
  <si>
    <t xml:space="preserve">Datum betaling</t>
  </si>
  <si>
    <t xml:space="preserve">Bedrag €</t>
  </si>
  <si>
    <t xml:space="preserve">Type betaling</t>
  </si>
  <si>
    <t xml:space="preserve">Betaalmethode</t>
  </si>
  <si>
    <t xml:space="preserve">Status</t>
  </si>
  <si>
    <t xml:space="preserve">Factuur ✓</t>
  </si>
  <si>
    <t xml:space="preserve">Aanbetaling</t>
  </si>
  <si>
    <t xml:space="preserve">2e betaling</t>
  </si>
  <si>
    <t xml:space="preserve">Slotbetaling</t>
  </si>
  <si>
    <t xml:space="preserve">TOTAAL BETAALD</t>
  </si>
  <si>
    <t xml:space="preserve">Betaalregels: Altijd contract voor betaling. Nooit meer dan 50% vooraf. Nooit het volledige bedrag vooraf. Altijd per bank betalen zodat er een spoor is. Factuur bij elke betaling bewaren.</t>
  </si>
  <si>
    <t xml:space="preserve">AROUSSA · Prijsbenchmarks Marokkaanse Bruiloft Nederland 2025 · aroussaplanner.com</t>
  </si>
  <si>
    <t xml:space="preserve">Prijsbenchmarks Marokkaanse Bruiloft NL 2025</t>
  </si>
  <si>
    <t xml:space="preserve">Gebaseerd op actuele marktprijzen 2024-2025. Prijzen variëren per regio en ervaring. Randstad 15-25% duurder dan overig NL.</t>
  </si>
  <si>
    <t xml:space="preserve">Minimum</t>
  </si>
  <si>
    <t xml:space="preserve">Maximum</t>
  </si>
  <si>
    <t xml:space="preserve">Eenheid</t>
  </si>
  <si>
    <t xml:space="preserve">Toelichting &amp; tips</t>
  </si>
  <si>
    <t xml:space="preserve">Feestzaal (budget/eigen catering)</t>
  </si>
  <si>
    <t xml:space="preserve">per avond</t>
  </si>
  <si>
    <t xml:space="preserve">Bv. De Parel (€12,50 p.p., min €2.500), Zalencentrum Kristal Den Haag, lokale zalen. Eigen catering mogelijk.</t>
  </si>
  <si>
    <t xml:space="preserve">Feestzaal (midden)</t>
  </si>
  <si>
    <t xml:space="preserve">Comfortabele zalen met dienstverlening. Den Haag, Rotterdam, Utrecht. Alles inbegrepen.</t>
  </si>
  <si>
    <t xml:space="preserve">Feestzaal (luxe topzaal)</t>
  </si>
  <si>
    <t xml:space="preserve">Maxima Ballroom bij De Koning: €9.950 zaterdag excl. catering. Crown/Het Paleis tot €17.000.</t>
  </si>
  <si>
    <t xml:space="preserve">Catering (budget menu)</t>
  </si>
  <si>
    <t xml:space="preserve">per persoon</t>
  </si>
  <si>
    <t xml:space="preserve">Eenvoudig Marokkaans menu. Eigen koks. Bastilla, tajine, dessert. Halal-garantie verplichten.</t>
  </si>
  <si>
    <t xml:space="preserve">Catering (midden)</t>
  </si>
  <si>
    <t xml:space="preserve">Uitgebreid menu. Meerdere gangen. Bediening inbegrepen. Averages bij 200 gasten: €10.000-13.000.</t>
  </si>
  <si>
    <t xml:space="preserve">Catering (luxe)</t>
  </si>
  <si>
    <t xml:space="preserve">Exclusieve cateraar. Luxe menu. Voor 250 gasten: ca. €15.000-€20.000. Ouiplan benchmark: €15.000.</t>
  </si>
  <si>
    <t xml:space="preserve">Ziana / Bridalstylist (basis)</t>
  </si>
  <si>
    <t xml:space="preserve">pakket</t>
  </si>
  <si>
    <t xml:space="preserve">1-2 lebsa's, make-up, haar. Kleinere ziana's. Minder reputatie maar ook goede resultaten.</t>
  </si>
  <si>
    <t xml:space="preserve">Ziana / Bridalstylist (midden)</t>
  </si>
  <si>
    <t xml:space="preserve">2-4 lebsa's, visagie, kapsel, sieraden, amaria-stoel, begeleiding. Standaard pakketprijs.</t>
  </si>
  <si>
    <t xml:space="preserve">Ziana / Bridalstylist (exclusive)</t>
  </si>
  <si>
    <t xml:space="preserve">Onbeperkt jurken of 4+ outfits, top make-up, amaria/mida, bruidsstoel, full-day begeleiding.</t>
  </si>
  <si>
    <t xml:space="preserve">Fotograaf (basis)</t>
  </si>
  <si>
    <t xml:space="preserve">dag</t>
  </si>
  <si>
    <t xml:space="preserve">Jonge fotograaf met goed portfolio. Levertijd 4-8 weken. Goed voor budget bruiloften.</t>
  </si>
  <si>
    <t xml:space="preserve">Fotograaf + videograaf (combo)</t>
  </si>
  <si>
    <t xml:space="preserve">Foto + video + reels package. Meest gevraagde combinatie. Levertijd vastleggen in contract.</t>
  </si>
  <si>
    <t xml:space="preserve">DJ (Arabisch/Marokkaans)</t>
  </si>
  <si>
    <t xml:space="preserve">DJ met Marokkaans repertoire. Opbouwtijd min. 2 uur. Back-up apparatuur vereisen.</t>
  </si>
  <si>
    <t xml:space="preserve">Dakka Marrakchia groep</t>
  </si>
  <si>
    <t xml:space="preserve">per optreden</t>
  </si>
  <si>
    <t xml:space="preserve">Traditionele Marrakchische muziekgroep. Indrukwekkend voor entree. Steeds populairder in NL.</t>
  </si>
  <si>
    <t xml:space="preserve">Decoratie (basis)</t>
  </si>
  <si>
    <t xml:space="preserve">totaal</t>
  </si>
  <si>
    <t xml:space="preserve">Tafeldecoratie, verlichting, bloemen. Vaak inbegrepen bij cateraar. Vraag altijd itemlijst op.</t>
  </si>
  <si>
    <t xml:space="preserve">Decoratie (uitgebreid)</t>
  </si>
  <si>
    <t xml:space="preserve">Volledige zaaldecoratie, achtergrondwand, backdrop, LED, bloemen, stoelhoezen.</t>
  </si>
  <si>
    <t xml:space="preserve">3amaria (draagstoel)</t>
  </si>
  <si>
    <t xml:space="preserve">huur</t>
  </si>
  <si>
    <t xml:space="preserve">Kristallen draagstoel inclusief dragers en kledij. Mida (voor bruidegom) extra.</t>
  </si>
  <si>
    <t xml:space="preserve">Caftans / lebsa's (huur)</t>
  </si>
  <si>
    <t xml:space="preserve">per stuk</t>
  </si>
  <si>
    <t xml:space="preserve">Huren is 50-70% goedkoper dan kopen. 4-5 outfits: €600-2.000 huur.</t>
  </si>
  <si>
    <t xml:space="preserve">Caftans / lebsa's (kopen)</t>
  </si>
  <si>
    <t xml:space="preserve">Designer lebsa: €1.000-3.000+. Budget: €300-800. Verrekend in Ziana-pakket of apart.</t>
  </si>
  <si>
    <t xml:space="preserve">Henna-avond (artiest)</t>
  </si>
  <si>
    <t xml:space="preserve">per artiest</t>
  </si>
  <si>
    <t xml:space="preserve">Gespecialiseerde henna-artiest. Allergie-proef 2-3 weken vooraf. Meerdere artiesten bij 100+ gasten.</t>
  </si>
  <si>
    <t xml:space="preserve">Trouwauto (luxe)</t>
  </si>
  <si>
    <t xml:space="preserve">per dag</t>
  </si>
  <si>
    <t xml:space="preserve">Rolls Royce, Bentley, Maybach. Met chauffeur. Soms inbegrepen bij fotopakket.</t>
  </si>
  <si>
    <t xml:space="preserve">Nikah-jurist / islamitisch huwelijk</t>
  </si>
  <si>
    <t xml:space="preserve">eenmalig</t>
  </si>
  <si>
    <t xml:space="preserve">Officieuze islamitische afsluiting. Geen wettelijke erkenning. Aparte kosten naast burgerlijk huwelijk.</t>
  </si>
  <si>
    <t xml:space="preserve">TOTAAL INDICATIES — Volledige Marokkaanse bruiloft NL (inclusief alle kosten)</t>
  </si>
  <si>
    <t xml:space="preserve">Totaal min</t>
  </si>
  <si>
    <t xml:space="preserve">Totaal max</t>
  </si>
  <si>
    <t xml:space="preserve">Budget (150 gasten)</t>
  </si>
  <si>
    <t xml:space="preserve">€ 15.000</t>
  </si>
  <si>
    <t xml:space="preserve">€ 22.000</t>
  </si>
  <si>
    <t xml:space="preserve">Goede maar nuchterere bruiloft. Eigen catering, lokale ziana.</t>
  </si>
  <si>
    <t xml:space="preserve">Gemiddeld (200 gasten)</t>
  </si>
  <si>
    <t xml:space="preserve">€ 32.000</t>
  </si>
  <si>
    <t xml:space="preserve">De meest voorkomende range. Goede zaal + catering €55 p.p. + ziana €1.800.</t>
  </si>
  <si>
    <t xml:space="preserve">Luxe (250 gasten)</t>
  </si>
  <si>
    <t xml:space="preserve">€ 45.000</t>
  </si>
  <si>
    <t xml:space="preserve">Topzaal, exclusive ziana, uitgebreide catering €60-70 p.p. TikTok ouiplan: €32.200.</t>
  </si>
  <si>
    <t xml:space="preserve">Premium (300+ gasten)</t>
  </si>
  <si>
    <t xml:space="preserve">€ 60.000+</t>
  </si>
  <si>
    <t xml:space="preserve">Alles exclusief. Meerdaags. Meerdere dagen zaalverhuur.</t>
  </si>
  <si>
    <t xml:space="preserve">© 2026 Aroussa · aroussaplanner.com · aroussaplanner@gmail.com · Persoonlijk exemplaar · Bronnen: ouiplan.nl, trouwen.nl, deparel.org, marktonderzoek 2024-2025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</si>
</sst>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€ &quot;#,##0"/>
    <numFmt numFmtId="166" formatCode="0%"/>
    <numFmt numFmtId="167" formatCode="&quot;€ &quot;#,##0;&quot;(€ &quot;#,##0\);\-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C4A882"/>
      <name val="Arial"/>
      <family val="0"/>
      <charset val="1"/>
    </font>
    <font>
      <b val="true"/>
      <sz val="9"/>
      <color rgb="FF9B8E7E"/>
      <name val="Arial"/>
      <family val="0"/>
      <charset val="1"/>
    </font>
    <font>
      <b val="true"/>
      <sz val="12"/>
      <color rgb="FFC4A882"/>
      <name val="Arial"/>
      <family val="0"/>
      <charset val="1"/>
    </font>
    <font>
      <sz val="9"/>
      <color rgb="FF8B7355"/>
      <name val="Arial"/>
      <family val="0"/>
      <charset val="1"/>
    </font>
    <font>
      <i val="true"/>
      <sz val="8"/>
      <color rgb="FFC0392B"/>
      <name val="Arial"/>
      <family val="0"/>
      <charset val="1"/>
    </font>
    <font>
      <b val="true"/>
      <sz val="16"/>
      <color rgb="FFF7F2EA"/>
      <name val="Arial"/>
      <family val="0"/>
      <charset val="1"/>
    </font>
    <font>
      <sz val="8"/>
      <color rgb="FF9B8E7E"/>
      <name val="Arial"/>
      <family val="0"/>
      <charset val="1"/>
    </font>
    <font>
      <b val="true"/>
      <sz val="9"/>
      <color rgb="FFF7F2EA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8"/>
      <color rgb="FF9B8E7E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8"/>
      <color rgb="FFF7F2EA"/>
      <name val="Arial"/>
      <family val="0"/>
      <charset val="1"/>
    </font>
    <font>
      <sz val="9"/>
      <color rgb="FF2D2520"/>
      <name val="Arial"/>
      <family val="0"/>
      <charset val="1"/>
    </font>
    <font>
      <b val="true"/>
      <sz val="9"/>
      <color rgb="FF8B7355"/>
      <name val="Arial"/>
      <family val="0"/>
      <charset val="1"/>
    </font>
    <font>
      <sz val="9"/>
      <color rgb="FF9B8E7E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C4A882"/>
      <name val="Arial"/>
      <family val="0"/>
      <charset val="1"/>
    </font>
    <font>
      <sz val="9"/>
      <color rgb="FFF7F2EA"/>
      <name val="Arial"/>
      <family val="0"/>
      <charset val="1"/>
    </font>
    <font>
      <b val="true"/>
      <sz val="11"/>
      <color rgb="FFC4A882"/>
      <name val="Arial"/>
      <family val="0"/>
      <charset val="1"/>
    </font>
    <font>
      <i val="true"/>
      <sz val="8"/>
      <color rgb="FF2D2520"/>
      <name val="Arial"/>
      <family val="0"/>
      <charset val="1"/>
    </font>
    <font>
      <b val="true"/>
      <sz val="9"/>
      <color rgb="FF2D252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14"/>
      <color rgb="FFF7F2EA"/>
      <name val="Arial"/>
      <family val="0"/>
      <charset val="1"/>
    </font>
    <font>
      <b val="true"/>
      <sz val="10"/>
      <color rgb="FF8B7355"/>
      <name val="Arial"/>
      <family val="0"/>
      <charset val="1"/>
    </font>
    <font>
      <i val="true"/>
      <sz val="7"/>
      <color rgb="FF9B8E7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210"/>
        <bgColor rgb="FF2D1F1C"/>
      </patternFill>
    </fill>
    <fill>
      <patternFill patternType="solid">
        <fgColor rgb="FF2D2520"/>
        <bgColor rgb="FF2D1F1C"/>
      </patternFill>
    </fill>
    <fill>
      <patternFill patternType="solid">
        <fgColor rgb="FF2D1F1C"/>
        <bgColor rgb="FF2D2520"/>
      </patternFill>
    </fill>
    <fill>
      <patternFill patternType="solid">
        <fgColor rgb="FFEAF0FF"/>
        <bgColor rgb="FFF7F2EA"/>
      </patternFill>
    </fill>
    <fill>
      <patternFill patternType="solid">
        <fgColor rgb="FFF2EDE0"/>
        <bgColor rgb="FFF7F2EA"/>
      </patternFill>
    </fill>
    <fill>
      <patternFill patternType="solid">
        <fgColor rgb="FFF7F2EA"/>
        <bgColor rgb="FFF2EDE0"/>
      </patternFill>
    </fill>
    <fill>
      <patternFill patternType="solid">
        <fgColor rgb="FF3D322C"/>
        <bgColor rgb="FF2D2520"/>
      </patternFill>
    </fill>
    <fill>
      <patternFill patternType="solid">
        <fgColor rgb="FFEDE6D6"/>
        <bgColor rgb="FFF2EDE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4A882"/>
      </bottom>
      <diagonal/>
    </border>
    <border diagonalUp="false" diagonalDown="false">
      <left/>
      <right/>
      <top/>
      <bottom style="thin">
        <color rgb="FFC4A882"/>
      </bottom>
      <diagonal/>
    </border>
    <border diagonalUp="false" diagonalDown="false">
      <left/>
      <right/>
      <top style="medium">
        <color rgb="FFC4A882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2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A882"/>
      <rgbColor rgb="FF8B7355"/>
      <rgbColor rgb="FF9999FF"/>
      <rgbColor rgb="FF993366"/>
      <rgbColor rgb="FFF2EDE0"/>
      <rgbColor rgb="FFEAF0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6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B8E7E"/>
      <rgbColor rgb="FF2D1F1C"/>
      <rgbColor rgb="FF339966"/>
      <rgbColor rgb="FF1A1210"/>
      <rgbColor rgb="FF2D2520"/>
      <rgbColor rgb="FFC0392B"/>
      <rgbColor rgb="FF993366"/>
      <rgbColor rgb="FF333399"/>
      <rgbColor rgb="FF3D32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3"/>
    <col collapsed="false" customWidth="true" hidden="false" outlineLevel="0" max="6" min="3" style="0" width="15"/>
    <col collapsed="false" customWidth="true" hidden="false" outlineLevel="0" max="7" min="7" style="0" width="14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3"/>
      <c r="D2" s="3"/>
      <c r="E2" s="3"/>
      <c r="F2" s="3"/>
      <c r="G2" s="3"/>
    </row>
    <row r="3" customFormat="false" ht="15" hidden="false" customHeight="false" outlineLevel="0" collapsed="false">
      <c r="A3" s="2" t="s">
        <v>2</v>
      </c>
      <c r="B3" s="2"/>
      <c r="C3" s="4"/>
      <c r="D3" s="4"/>
      <c r="E3" s="4"/>
      <c r="F3" s="4"/>
      <c r="G3" s="4"/>
    </row>
    <row r="4" customFormat="false" ht="18" hidden="false" customHeight="true" outlineLevel="0" collapsed="false">
      <c r="A4" s="5" t="s">
        <v>3</v>
      </c>
      <c r="B4" s="5"/>
      <c r="C4" s="5"/>
      <c r="D4" s="5"/>
      <c r="E4" s="5"/>
      <c r="F4" s="5"/>
      <c r="G4" s="5"/>
    </row>
    <row r="5" customFormat="false" ht="30" hidden="false" customHeight="true" outlineLevel="0" collapsed="false">
      <c r="A5" s="6" t="s">
        <v>4</v>
      </c>
      <c r="B5" s="6"/>
      <c r="C5" s="6"/>
      <c r="D5" s="6"/>
      <c r="E5" s="6"/>
      <c r="F5" s="6"/>
      <c r="G5" s="6"/>
    </row>
    <row r="6" customFormat="false" ht="15.75" hidden="false" customHeight="true" outlineLevel="0" collapsed="false">
      <c r="A6" s="7" t="s">
        <v>5</v>
      </c>
      <c r="B6" s="7"/>
      <c r="C6" s="7"/>
      <c r="D6" s="7"/>
      <c r="E6" s="7"/>
      <c r="F6" s="7"/>
      <c r="G6" s="7"/>
    </row>
    <row r="7" customFormat="false" ht="7.5" hidden="false" customHeight="true" outlineLevel="0" collapsed="false"/>
    <row r="8" customFormat="false" ht="21.75" hidden="false" customHeight="true" outlineLevel="0" collapsed="false">
      <c r="A8" s="8" t="s">
        <v>6</v>
      </c>
      <c r="B8" s="8"/>
      <c r="C8" s="8"/>
      <c r="D8" s="9" t="n">
        <v>200</v>
      </c>
      <c r="E8" s="10" t="s">
        <v>7</v>
      </c>
      <c r="F8" s="10"/>
      <c r="G8" s="10"/>
    </row>
    <row r="9" customFormat="false" ht="24" hidden="false" customHeight="true" outlineLevel="0" collapsed="false">
      <c r="A9" s="8" t="s">
        <v>8</v>
      </c>
      <c r="B9" s="8"/>
      <c r="C9" s="8"/>
      <c r="D9" s="11" t="n">
        <v>0</v>
      </c>
      <c r="E9" s="10" t="s">
        <v>9</v>
      </c>
      <c r="F9" s="10"/>
      <c r="G9" s="10"/>
    </row>
    <row r="10" customFormat="false" ht="7.5" hidden="false" customHeight="true" outlineLevel="0" collapsed="false"/>
    <row r="11" customFormat="false" ht="21.75" hidden="false" customHeight="true" outlineLevel="0" collapsed="false">
      <c r="A11" s="12" t="s">
        <v>10</v>
      </c>
      <c r="B11" s="12" t="s">
        <v>11</v>
      </c>
      <c r="C11" s="12" t="s">
        <v>12</v>
      </c>
      <c r="D11" s="12" t="s">
        <v>13</v>
      </c>
      <c r="E11" s="12" t="s">
        <v>14</v>
      </c>
      <c r="F11" s="12" t="s">
        <v>15</v>
      </c>
      <c r="G11" s="12" t="s">
        <v>16</v>
      </c>
    </row>
    <row r="12" customFormat="false" ht="19.5" hidden="false" customHeight="true" outlineLevel="0" collapsed="false">
      <c r="A12" s="13" t="s">
        <v>17</v>
      </c>
      <c r="B12" s="14" t="n">
        <v>0.22</v>
      </c>
      <c r="C12" s="15" t="str">
        <f aca="false">IF(D9&gt;0,D9*B12,"")</f>
        <v/>
      </c>
      <c r="D12" s="16" t="n">
        <v>2500</v>
      </c>
      <c r="E12" s="16" t="n">
        <v>17000</v>
      </c>
      <c r="F12" s="17"/>
      <c r="G12" s="17"/>
    </row>
    <row r="13" customFormat="false" ht="19.5" hidden="false" customHeight="true" outlineLevel="0" collapsed="false">
      <c r="A13" s="18" t="s">
        <v>18</v>
      </c>
      <c r="B13" s="19" t="n">
        <v>0.35</v>
      </c>
      <c r="C13" s="20" t="str">
        <f aca="false">IF(D9&gt;0,D9*B13,"")</f>
        <v/>
      </c>
      <c r="D13" s="21" t="n">
        <f aca="false">35*D8</f>
        <v>7000</v>
      </c>
      <c r="E13" s="21" t="n">
        <f aca="false">80*D8</f>
        <v>16000</v>
      </c>
      <c r="F13" s="17"/>
      <c r="G13" s="17"/>
    </row>
    <row r="14" customFormat="false" ht="19.5" hidden="false" customHeight="true" outlineLevel="0" collapsed="false">
      <c r="A14" s="13" t="s">
        <v>19</v>
      </c>
      <c r="B14" s="14" t="n">
        <v>0.1</v>
      </c>
      <c r="C14" s="15" t="str">
        <f aca="false">IF(D9&gt;0,D9*B14,"")</f>
        <v/>
      </c>
      <c r="D14" s="16" t="n">
        <v>1200</v>
      </c>
      <c r="E14" s="16" t="n">
        <v>4000</v>
      </c>
      <c r="F14" s="17"/>
      <c r="G14" s="17"/>
    </row>
    <row r="15" customFormat="false" ht="19.5" hidden="false" customHeight="true" outlineLevel="0" collapsed="false">
      <c r="A15" s="18" t="s">
        <v>20</v>
      </c>
      <c r="B15" s="19" t="n">
        <v>0.09</v>
      </c>
      <c r="C15" s="20" t="str">
        <f aca="false">IF(D9&gt;0,D9*B15,"")</f>
        <v/>
      </c>
      <c r="D15" s="21" t="n">
        <v>1000</v>
      </c>
      <c r="E15" s="21" t="n">
        <v>4500</v>
      </c>
      <c r="F15" s="17"/>
      <c r="G15" s="17"/>
    </row>
    <row r="16" customFormat="false" ht="19.5" hidden="false" customHeight="true" outlineLevel="0" collapsed="false">
      <c r="A16" s="13" t="s">
        <v>21</v>
      </c>
      <c r="B16" s="14" t="n">
        <v>0.11</v>
      </c>
      <c r="C16" s="15" t="str">
        <f aca="false">IF(D9&gt;0,D9*B16,"")</f>
        <v/>
      </c>
      <c r="D16" s="16" t="n">
        <v>1500</v>
      </c>
      <c r="E16" s="16" t="n">
        <v>8000</v>
      </c>
      <c r="F16" s="17"/>
      <c r="G16" s="17"/>
    </row>
    <row r="17" customFormat="false" ht="19.5" hidden="false" customHeight="true" outlineLevel="0" collapsed="false">
      <c r="A17" s="18" t="s">
        <v>22</v>
      </c>
      <c r="B17" s="19" t="n">
        <v>0.07</v>
      </c>
      <c r="C17" s="20" t="str">
        <f aca="false">IF(D9&gt;0,D9*B17,"")</f>
        <v/>
      </c>
      <c r="D17" s="21" t="n">
        <v>800</v>
      </c>
      <c r="E17" s="21" t="n">
        <v>4500</v>
      </c>
      <c r="F17" s="17"/>
      <c r="G17" s="17"/>
    </row>
    <row r="18" customFormat="false" ht="19.5" hidden="false" customHeight="true" outlineLevel="0" collapsed="false">
      <c r="A18" s="13" t="s">
        <v>23</v>
      </c>
      <c r="B18" s="14" t="n">
        <v>0.05</v>
      </c>
      <c r="C18" s="15" t="str">
        <f aca="false">IF(D9&gt;0,D9*B18,"")</f>
        <v/>
      </c>
      <c r="D18" s="16" t="n">
        <v>600</v>
      </c>
      <c r="E18" s="16" t="n">
        <v>4000</v>
      </c>
      <c r="F18" s="17"/>
      <c r="G18" s="17"/>
    </row>
    <row r="19" customFormat="false" ht="19.5" hidden="false" customHeight="true" outlineLevel="0" collapsed="false">
      <c r="A19" s="18" t="s">
        <v>24</v>
      </c>
      <c r="B19" s="19" t="n">
        <v>0.04</v>
      </c>
      <c r="C19" s="20" t="str">
        <f aca="false">IF(D9&gt;0,D9*B19,"")</f>
        <v/>
      </c>
      <c r="D19" s="21" t="n">
        <v>500</v>
      </c>
      <c r="E19" s="21" t="n">
        <v>2500</v>
      </c>
      <c r="F19" s="17"/>
      <c r="G19" s="17"/>
    </row>
    <row r="20" customFormat="false" ht="19.5" hidden="false" customHeight="true" outlineLevel="0" collapsed="false">
      <c r="A20" s="13" t="s">
        <v>25</v>
      </c>
      <c r="B20" s="14" t="n">
        <v>0.02</v>
      </c>
      <c r="C20" s="15" t="str">
        <f aca="false">IF(D9&gt;0,D9*B20,"")</f>
        <v/>
      </c>
      <c r="D20" s="16" t="n">
        <v>300</v>
      </c>
      <c r="E20" s="16" t="n">
        <v>1200</v>
      </c>
      <c r="F20" s="17"/>
      <c r="G20" s="17"/>
    </row>
    <row r="21" customFormat="false" ht="19.5" hidden="false" customHeight="true" outlineLevel="0" collapsed="false">
      <c r="A21" s="18" t="s">
        <v>26</v>
      </c>
      <c r="B21" s="19" t="n">
        <v>0.04</v>
      </c>
      <c r="C21" s="20" t="str">
        <f aca="false">IF(D9&gt;0,D9*B21,"")</f>
        <v/>
      </c>
      <c r="D21" s="22" t="s">
        <v>27</v>
      </c>
      <c r="E21" s="22" t="s">
        <v>27</v>
      </c>
      <c r="F21" s="17"/>
      <c r="G21" s="17"/>
    </row>
    <row r="22" customFormat="false" ht="24" hidden="false" customHeight="true" outlineLevel="0" collapsed="false">
      <c r="A22" s="23" t="s">
        <v>28</v>
      </c>
      <c r="B22" s="24" t="n">
        <f aca="false">SUM(B12:B21)</f>
        <v>1.09</v>
      </c>
      <c r="C22" s="25" t="n">
        <f aca="false">SUM(C12:C21)</f>
        <v>0</v>
      </c>
      <c r="D22" s="26"/>
      <c r="E22" s="26"/>
      <c r="F22" s="25" t="n">
        <f aca="false">SUM(F12:F21)</f>
        <v>0</v>
      </c>
      <c r="G22" s="25" t="n">
        <f aca="false">SUM(G12:G21)</f>
        <v>0</v>
      </c>
    </row>
    <row r="23" customFormat="false" ht="21.75" hidden="false" customHeight="true" outlineLevel="0" collapsed="false">
      <c r="A23" s="27" t="s">
        <v>29</v>
      </c>
      <c r="B23" s="27"/>
      <c r="C23" s="27"/>
      <c r="D23" s="27"/>
      <c r="E23" s="27"/>
      <c r="F23" s="28" t="str">
        <f aca="false">IF(D9&gt;0,D9-F22,"")</f>
        <v/>
      </c>
      <c r="G23" s="28" t="str">
        <f aca="false">IF(D9&gt;0,D9-G22,"")</f>
        <v/>
      </c>
    </row>
    <row r="24" customFormat="false" ht="36" hidden="false" customHeight="true" outlineLevel="0" collapsed="false">
      <c r="A24" s="29" t="s">
        <v>30</v>
      </c>
      <c r="B24" s="29"/>
      <c r="C24" s="29"/>
      <c r="D24" s="29"/>
      <c r="E24" s="29"/>
      <c r="F24" s="29"/>
      <c r="G24" s="29"/>
    </row>
    <row r="26" customFormat="false" ht="19.5" hidden="false" customHeight="true" outlineLevel="0" collapsed="false">
      <c r="A26" s="30" t="s">
        <v>31</v>
      </c>
      <c r="B26" s="30"/>
      <c r="C26" s="30"/>
      <c r="D26" s="30"/>
      <c r="E26" s="30"/>
      <c r="F26" s="30"/>
      <c r="G26" s="30"/>
    </row>
    <row r="27" customFormat="false" ht="15" hidden="false" customHeight="false" outlineLevel="0" collapsed="false">
      <c r="A27" s="31" t="s">
        <v>32</v>
      </c>
      <c r="B27" s="31" t="s">
        <v>33</v>
      </c>
      <c r="C27" s="31" t="s">
        <v>34</v>
      </c>
      <c r="D27" s="31" t="s">
        <v>35</v>
      </c>
      <c r="E27" s="31"/>
      <c r="F27" s="31"/>
      <c r="G27" s="31"/>
    </row>
    <row r="28" customFormat="false" ht="19.5" hidden="false" customHeight="true" outlineLevel="0" collapsed="false">
      <c r="A28" s="32" t="s">
        <v>36</v>
      </c>
      <c r="B28" s="33" t="s">
        <v>37</v>
      </c>
      <c r="C28" s="33" t="s">
        <v>38</v>
      </c>
      <c r="D28" s="34" t="s">
        <v>39</v>
      </c>
      <c r="E28" s="34"/>
      <c r="F28" s="34"/>
      <c r="G28" s="34"/>
    </row>
    <row r="29" customFormat="false" ht="19.5" hidden="false" customHeight="true" outlineLevel="0" collapsed="false">
      <c r="A29" s="35" t="s">
        <v>40</v>
      </c>
      <c r="B29" s="13" t="s">
        <v>41</v>
      </c>
      <c r="C29" s="13" t="s">
        <v>42</v>
      </c>
      <c r="D29" s="36" t="s">
        <v>43</v>
      </c>
      <c r="E29" s="36"/>
      <c r="F29" s="36"/>
      <c r="G29" s="36"/>
    </row>
    <row r="30" customFormat="false" ht="19.5" hidden="false" customHeight="true" outlineLevel="0" collapsed="false">
      <c r="A30" s="32" t="s">
        <v>44</v>
      </c>
      <c r="B30" s="33" t="s">
        <v>45</v>
      </c>
      <c r="C30" s="33" t="s">
        <v>46</v>
      </c>
      <c r="D30" s="34" t="s">
        <v>47</v>
      </c>
      <c r="E30" s="34"/>
      <c r="F30" s="34"/>
      <c r="G30" s="34"/>
    </row>
    <row r="31" customFormat="false" ht="19.5" hidden="false" customHeight="true" outlineLevel="0" collapsed="false">
      <c r="A31" s="35" t="s">
        <v>48</v>
      </c>
      <c r="B31" s="13" t="s">
        <v>49</v>
      </c>
      <c r="C31" s="13" t="s">
        <v>50</v>
      </c>
      <c r="D31" s="36" t="s">
        <v>51</v>
      </c>
      <c r="E31" s="36"/>
      <c r="F31" s="36"/>
      <c r="G31" s="36"/>
    </row>
  </sheetData>
  <mergeCells count="20">
    <mergeCell ref="A1:G1"/>
    <mergeCell ref="A2:B2"/>
    <mergeCell ref="C2:G2"/>
    <mergeCell ref="A3:B3"/>
    <mergeCell ref="C3:G3"/>
    <mergeCell ref="A4:G4"/>
    <mergeCell ref="A5:G5"/>
    <mergeCell ref="A6:G6"/>
    <mergeCell ref="A8:C8"/>
    <mergeCell ref="E8:G8"/>
    <mergeCell ref="A9:C9"/>
    <mergeCell ref="E9:G9"/>
    <mergeCell ref="A23:E23"/>
    <mergeCell ref="A24:G24"/>
    <mergeCell ref="A26:G26"/>
    <mergeCell ref="D27:G27"/>
    <mergeCell ref="D28:G28"/>
    <mergeCell ref="D29:G29"/>
    <mergeCell ref="D30:G30"/>
    <mergeCell ref="D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8" hidden="false" customHeight="true" outlineLevel="0" collapsed="false">
      <c r="A1" s="1" t="s">
        <v>52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6" t="s">
        <v>53</v>
      </c>
      <c r="B2" s="6"/>
      <c r="C2" s="6"/>
      <c r="D2" s="6"/>
      <c r="E2" s="6"/>
      <c r="F2" s="6"/>
      <c r="G2" s="6"/>
    </row>
    <row r="3" customFormat="false" ht="18" hidden="false" customHeight="true" outlineLevel="0" collapsed="false">
      <c r="A3" s="37" t="s">
        <v>54</v>
      </c>
      <c r="B3" s="37"/>
      <c r="C3" s="37"/>
      <c r="D3" s="37"/>
      <c r="E3" s="37"/>
      <c r="F3" s="37"/>
      <c r="G3" s="37"/>
    </row>
    <row r="4" customFormat="false" ht="7.5" hidden="false" customHeight="true" outlineLevel="0" collapsed="false"/>
    <row r="5" customFormat="false" ht="21.75" hidden="false" customHeight="true" outlineLevel="0" collapsed="false">
      <c r="A5" s="12" t="s">
        <v>55</v>
      </c>
      <c r="B5" s="12" t="s">
        <v>56</v>
      </c>
      <c r="C5" s="12" t="s">
        <v>57</v>
      </c>
      <c r="D5" s="12" t="s">
        <v>58</v>
      </c>
      <c r="E5" s="12" t="s">
        <v>59</v>
      </c>
      <c r="F5" s="12" t="s">
        <v>60</v>
      </c>
      <c r="G5" s="12" t="s">
        <v>61</v>
      </c>
    </row>
    <row r="6" customFormat="false" ht="19.5" hidden="false" customHeight="true" outlineLevel="0" collapsed="false">
      <c r="A6" s="38"/>
      <c r="B6" s="39"/>
      <c r="C6" s="17"/>
      <c r="D6" s="38"/>
      <c r="E6" s="38"/>
      <c r="F6" s="40" t="s">
        <v>62</v>
      </c>
      <c r="G6" s="41"/>
    </row>
    <row r="7" customFormat="false" ht="19.5" hidden="false" customHeight="true" outlineLevel="0" collapsed="false">
      <c r="A7" s="38"/>
      <c r="B7" s="39"/>
      <c r="C7" s="17"/>
      <c r="D7" s="38"/>
      <c r="E7" s="38"/>
      <c r="F7" s="42" t="s">
        <v>62</v>
      </c>
      <c r="G7" s="43"/>
    </row>
    <row r="8" customFormat="false" ht="19.5" hidden="false" customHeight="true" outlineLevel="0" collapsed="false">
      <c r="A8" s="38"/>
      <c r="B8" s="39"/>
      <c r="C8" s="17"/>
      <c r="D8" s="38"/>
      <c r="E8" s="38"/>
      <c r="F8" s="40" t="s">
        <v>62</v>
      </c>
      <c r="G8" s="41"/>
    </row>
    <row r="9" customFormat="false" ht="19.5" hidden="false" customHeight="true" outlineLevel="0" collapsed="false">
      <c r="A9" s="38"/>
      <c r="B9" s="39"/>
      <c r="C9" s="17"/>
      <c r="D9" s="38"/>
      <c r="E9" s="38"/>
      <c r="F9" s="42" t="s">
        <v>62</v>
      </c>
      <c r="G9" s="43"/>
    </row>
    <row r="10" customFormat="false" ht="19.5" hidden="false" customHeight="true" outlineLevel="0" collapsed="false">
      <c r="A10" s="38"/>
      <c r="B10" s="39"/>
      <c r="C10" s="17"/>
      <c r="D10" s="38"/>
      <c r="E10" s="38"/>
      <c r="F10" s="40" t="s">
        <v>62</v>
      </c>
      <c r="G10" s="41"/>
    </row>
    <row r="11" customFormat="false" ht="19.5" hidden="false" customHeight="true" outlineLevel="0" collapsed="false">
      <c r="A11" s="38"/>
      <c r="B11" s="39"/>
      <c r="C11" s="17"/>
      <c r="D11" s="38"/>
      <c r="E11" s="38"/>
      <c r="F11" s="44" t="s">
        <v>63</v>
      </c>
      <c r="G11" s="43"/>
    </row>
    <row r="12" customFormat="false" ht="19.5" hidden="false" customHeight="true" outlineLevel="0" collapsed="false">
      <c r="A12" s="38"/>
      <c r="B12" s="39"/>
      <c r="C12" s="17"/>
      <c r="D12" s="38"/>
      <c r="E12" s="38"/>
      <c r="F12" s="45" t="s">
        <v>63</v>
      </c>
      <c r="G12" s="41"/>
    </row>
    <row r="13" customFormat="false" ht="19.5" hidden="false" customHeight="true" outlineLevel="0" collapsed="false">
      <c r="A13" s="38"/>
      <c r="B13" s="39"/>
      <c r="C13" s="17"/>
      <c r="D13" s="38"/>
      <c r="E13" s="38"/>
      <c r="F13" s="44" t="s">
        <v>63</v>
      </c>
      <c r="G13" s="43"/>
    </row>
    <row r="14" customFormat="false" ht="19.5" hidden="false" customHeight="true" outlineLevel="0" collapsed="false">
      <c r="A14" s="38"/>
      <c r="B14" s="39"/>
      <c r="C14" s="17"/>
      <c r="D14" s="38"/>
      <c r="E14" s="38"/>
      <c r="F14" s="46" t="s">
        <v>64</v>
      </c>
      <c r="G14" s="41"/>
    </row>
    <row r="15" customFormat="false" ht="19.5" hidden="false" customHeight="true" outlineLevel="0" collapsed="false">
      <c r="A15" s="38"/>
      <c r="B15" s="39"/>
      <c r="C15" s="17"/>
      <c r="D15" s="38"/>
      <c r="E15" s="38"/>
      <c r="F15" s="47" t="s">
        <v>64</v>
      </c>
      <c r="G15" s="43"/>
    </row>
    <row r="16" customFormat="false" ht="19.5" hidden="false" customHeight="true" outlineLevel="0" collapsed="false">
      <c r="A16" s="38"/>
      <c r="B16" s="39"/>
      <c r="C16" s="17"/>
      <c r="D16" s="38"/>
      <c r="E16" s="38"/>
      <c r="F16" s="41"/>
      <c r="G16" s="41"/>
    </row>
    <row r="17" customFormat="false" ht="19.5" hidden="false" customHeight="true" outlineLevel="0" collapsed="false">
      <c r="A17" s="38"/>
      <c r="B17" s="39"/>
      <c r="C17" s="17"/>
      <c r="D17" s="38"/>
      <c r="E17" s="38"/>
      <c r="F17" s="43"/>
      <c r="G17" s="43"/>
    </row>
    <row r="18" customFormat="false" ht="19.5" hidden="false" customHeight="true" outlineLevel="0" collapsed="false">
      <c r="A18" s="38"/>
      <c r="B18" s="39"/>
      <c r="C18" s="17"/>
      <c r="D18" s="38"/>
      <c r="E18" s="38"/>
      <c r="F18" s="41"/>
      <c r="G18" s="41"/>
    </row>
    <row r="19" customFormat="false" ht="24" hidden="false" customHeight="true" outlineLevel="0" collapsed="false">
      <c r="A19" s="48" t="s">
        <v>65</v>
      </c>
      <c r="B19" s="48"/>
      <c r="C19" s="49" t="n">
        <f aca="false">SUM(C6:C18)</f>
        <v>0</v>
      </c>
      <c r="D19" s="50"/>
      <c r="E19" s="50"/>
      <c r="F19" s="50"/>
      <c r="G19" s="50"/>
    </row>
    <row r="21" customFormat="false" ht="36" hidden="false" customHeight="true" outlineLevel="0" collapsed="false">
      <c r="A21" s="29" t="s">
        <v>66</v>
      </c>
      <c r="B21" s="29"/>
      <c r="C21" s="29"/>
      <c r="D21" s="29"/>
      <c r="E21" s="29"/>
      <c r="F21" s="29"/>
      <c r="G21" s="29"/>
    </row>
  </sheetData>
  <mergeCells count="5">
    <mergeCell ref="A1:G1"/>
    <mergeCell ref="A2:G2"/>
    <mergeCell ref="A3:G3"/>
    <mergeCell ref="A19:B19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32"/>
  </cols>
  <sheetData>
    <row r="1" customFormat="false" ht="18" hidden="false" customHeight="true" outlineLevel="0" collapsed="false">
      <c r="A1" s="1" t="s">
        <v>67</v>
      </c>
      <c r="B1" s="1"/>
      <c r="C1" s="1"/>
      <c r="D1" s="1"/>
      <c r="E1" s="1"/>
    </row>
    <row r="2" customFormat="false" ht="25.5" hidden="false" customHeight="true" outlineLevel="0" collapsed="false">
      <c r="A2" s="51" t="s">
        <v>68</v>
      </c>
      <c r="B2" s="51"/>
      <c r="C2" s="51"/>
      <c r="D2" s="51"/>
      <c r="E2" s="51"/>
    </row>
    <row r="3" customFormat="false" ht="18" hidden="false" customHeight="true" outlineLevel="0" collapsed="false">
      <c r="A3" s="37" t="s">
        <v>69</v>
      </c>
      <c r="B3" s="37"/>
      <c r="C3" s="37"/>
      <c r="D3" s="37"/>
      <c r="E3" s="37"/>
    </row>
    <row r="4" customFormat="false" ht="7.5" hidden="false" customHeight="true" outlineLevel="0" collapsed="false"/>
    <row r="5" customFormat="false" ht="21.75" hidden="false" customHeight="true" outlineLevel="0" collapsed="false">
      <c r="A5" s="52" t="s">
        <v>10</v>
      </c>
      <c r="B5" s="52" t="s">
        <v>70</v>
      </c>
      <c r="C5" s="52" t="s">
        <v>71</v>
      </c>
      <c r="D5" s="52" t="s">
        <v>72</v>
      </c>
      <c r="E5" s="52" t="s">
        <v>73</v>
      </c>
    </row>
    <row r="6" customFormat="false" ht="21.75" hidden="false" customHeight="true" outlineLevel="0" collapsed="false">
      <c r="A6" s="32" t="s">
        <v>74</v>
      </c>
      <c r="B6" s="53" t="n">
        <v>2500</v>
      </c>
      <c r="C6" s="53" t="n">
        <v>7000</v>
      </c>
      <c r="D6" s="54" t="s">
        <v>75</v>
      </c>
      <c r="E6" s="55" t="s">
        <v>76</v>
      </c>
    </row>
    <row r="7" customFormat="false" ht="21.75" hidden="false" customHeight="true" outlineLevel="0" collapsed="false">
      <c r="A7" s="35" t="s">
        <v>77</v>
      </c>
      <c r="B7" s="56" t="n">
        <v>5000</v>
      </c>
      <c r="C7" s="56" t="n">
        <v>12000</v>
      </c>
      <c r="D7" s="57" t="s">
        <v>75</v>
      </c>
      <c r="E7" s="58" t="s">
        <v>78</v>
      </c>
    </row>
    <row r="8" customFormat="false" ht="21.75" hidden="false" customHeight="true" outlineLevel="0" collapsed="false">
      <c r="A8" s="32" t="s">
        <v>79</v>
      </c>
      <c r="B8" s="53" t="n">
        <v>9950</v>
      </c>
      <c r="C8" s="53" t="n">
        <v>17000</v>
      </c>
      <c r="D8" s="54" t="s">
        <v>75</v>
      </c>
      <c r="E8" s="55" t="s">
        <v>80</v>
      </c>
    </row>
    <row r="9" customFormat="false" ht="21.75" hidden="false" customHeight="true" outlineLevel="0" collapsed="false">
      <c r="A9" s="35" t="s">
        <v>81</v>
      </c>
      <c r="B9" s="56" t="n">
        <v>35</v>
      </c>
      <c r="C9" s="56" t="n">
        <v>45</v>
      </c>
      <c r="D9" s="57" t="s">
        <v>82</v>
      </c>
      <c r="E9" s="58" t="s">
        <v>83</v>
      </c>
    </row>
    <row r="10" customFormat="false" ht="21.75" hidden="false" customHeight="true" outlineLevel="0" collapsed="false">
      <c r="A10" s="32" t="s">
        <v>84</v>
      </c>
      <c r="B10" s="53" t="n">
        <v>50</v>
      </c>
      <c r="C10" s="53" t="n">
        <v>65</v>
      </c>
      <c r="D10" s="54" t="s">
        <v>82</v>
      </c>
      <c r="E10" s="55" t="s">
        <v>85</v>
      </c>
    </row>
    <row r="11" customFormat="false" ht="21.75" hidden="false" customHeight="true" outlineLevel="0" collapsed="false">
      <c r="A11" s="35" t="s">
        <v>86</v>
      </c>
      <c r="B11" s="56" t="n">
        <v>65</v>
      </c>
      <c r="C11" s="56" t="n">
        <v>80</v>
      </c>
      <c r="D11" s="57" t="s">
        <v>82</v>
      </c>
      <c r="E11" s="58" t="s">
        <v>87</v>
      </c>
    </row>
    <row r="12" customFormat="false" ht="21.75" hidden="false" customHeight="true" outlineLevel="0" collapsed="false">
      <c r="A12" s="32" t="s">
        <v>88</v>
      </c>
      <c r="B12" s="53" t="n">
        <v>800</v>
      </c>
      <c r="C12" s="53" t="n">
        <v>1500</v>
      </c>
      <c r="D12" s="54" t="s">
        <v>89</v>
      </c>
      <c r="E12" s="55" t="s">
        <v>90</v>
      </c>
    </row>
    <row r="13" customFormat="false" ht="21.75" hidden="false" customHeight="true" outlineLevel="0" collapsed="false">
      <c r="A13" s="35" t="s">
        <v>91</v>
      </c>
      <c r="B13" s="56" t="n">
        <v>1500</v>
      </c>
      <c r="C13" s="56" t="n">
        <v>2500</v>
      </c>
      <c r="D13" s="57" t="s">
        <v>89</v>
      </c>
      <c r="E13" s="58" t="s">
        <v>92</v>
      </c>
    </row>
    <row r="14" customFormat="false" ht="21.75" hidden="false" customHeight="true" outlineLevel="0" collapsed="false">
      <c r="A14" s="32" t="s">
        <v>93</v>
      </c>
      <c r="B14" s="53" t="n">
        <v>2500</v>
      </c>
      <c r="C14" s="53" t="n">
        <v>4000</v>
      </c>
      <c r="D14" s="54" t="s">
        <v>89</v>
      </c>
      <c r="E14" s="55" t="s">
        <v>94</v>
      </c>
    </row>
    <row r="15" customFormat="false" ht="21.75" hidden="false" customHeight="true" outlineLevel="0" collapsed="false">
      <c r="A15" s="35" t="s">
        <v>95</v>
      </c>
      <c r="B15" s="56" t="n">
        <v>1000</v>
      </c>
      <c r="C15" s="56" t="n">
        <v>1800</v>
      </c>
      <c r="D15" s="57" t="s">
        <v>96</v>
      </c>
      <c r="E15" s="58" t="s">
        <v>97</v>
      </c>
    </row>
    <row r="16" customFormat="false" ht="21.75" hidden="false" customHeight="true" outlineLevel="0" collapsed="false">
      <c r="A16" s="32" t="s">
        <v>98</v>
      </c>
      <c r="B16" s="53" t="n">
        <v>2000</v>
      </c>
      <c r="C16" s="53" t="n">
        <v>4000</v>
      </c>
      <c r="D16" s="54" t="s">
        <v>96</v>
      </c>
      <c r="E16" s="55" t="s">
        <v>99</v>
      </c>
    </row>
    <row r="17" customFormat="false" ht="21.75" hidden="false" customHeight="true" outlineLevel="0" collapsed="false">
      <c r="A17" s="35" t="s">
        <v>100</v>
      </c>
      <c r="B17" s="56" t="n">
        <v>800</v>
      </c>
      <c r="C17" s="56" t="n">
        <v>1800</v>
      </c>
      <c r="D17" s="57" t="s">
        <v>75</v>
      </c>
      <c r="E17" s="58" t="s">
        <v>101</v>
      </c>
    </row>
    <row r="18" customFormat="false" ht="21.75" hidden="false" customHeight="true" outlineLevel="0" collapsed="false">
      <c r="A18" s="32" t="s">
        <v>102</v>
      </c>
      <c r="B18" s="53" t="n">
        <v>1500</v>
      </c>
      <c r="C18" s="53" t="n">
        <v>3500</v>
      </c>
      <c r="D18" s="54" t="s">
        <v>103</v>
      </c>
      <c r="E18" s="55" t="s">
        <v>104</v>
      </c>
    </row>
    <row r="19" customFormat="false" ht="21.75" hidden="false" customHeight="true" outlineLevel="0" collapsed="false">
      <c r="A19" s="35" t="s">
        <v>105</v>
      </c>
      <c r="B19" s="56" t="n">
        <v>1500</v>
      </c>
      <c r="C19" s="56" t="n">
        <v>3500</v>
      </c>
      <c r="D19" s="57" t="s">
        <v>106</v>
      </c>
      <c r="E19" s="58" t="s">
        <v>107</v>
      </c>
    </row>
    <row r="20" customFormat="false" ht="21.75" hidden="false" customHeight="true" outlineLevel="0" collapsed="false">
      <c r="A20" s="32" t="s">
        <v>108</v>
      </c>
      <c r="B20" s="53" t="n">
        <v>4000</v>
      </c>
      <c r="C20" s="53" t="n">
        <v>8000</v>
      </c>
      <c r="D20" s="54" t="s">
        <v>106</v>
      </c>
      <c r="E20" s="55" t="s">
        <v>109</v>
      </c>
    </row>
    <row r="21" customFormat="false" ht="21.75" hidden="false" customHeight="true" outlineLevel="0" collapsed="false">
      <c r="A21" s="35" t="s">
        <v>110</v>
      </c>
      <c r="B21" s="56" t="n">
        <v>400</v>
      </c>
      <c r="C21" s="56" t="n">
        <v>900</v>
      </c>
      <c r="D21" s="57" t="s">
        <v>111</v>
      </c>
      <c r="E21" s="58" t="s">
        <v>112</v>
      </c>
    </row>
    <row r="22" customFormat="false" ht="21.75" hidden="false" customHeight="true" outlineLevel="0" collapsed="false">
      <c r="A22" s="32" t="s">
        <v>113</v>
      </c>
      <c r="B22" s="53" t="n">
        <v>150</v>
      </c>
      <c r="C22" s="53" t="n">
        <v>400</v>
      </c>
      <c r="D22" s="54" t="s">
        <v>114</v>
      </c>
      <c r="E22" s="55" t="s">
        <v>115</v>
      </c>
    </row>
    <row r="23" customFormat="false" ht="21.75" hidden="false" customHeight="true" outlineLevel="0" collapsed="false">
      <c r="A23" s="35" t="s">
        <v>116</v>
      </c>
      <c r="B23" s="56" t="n">
        <v>500</v>
      </c>
      <c r="C23" s="56" t="n">
        <v>2000</v>
      </c>
      <c r="D23" s="57" t="s">
        <v>114</v>
      </c>
      <c r="E23" s="58" t="s">
        <v>117</v>
      </c>
    </row>
    <row r="24" customFormat="false" ht="21.75" hidden="false" customHeight="true" outlineLevel="0" collapsed="false">
      <c r="A24" s="32" t="s">
        <v>118</v>
      </c>
      <c r="B24" s="53" t="n">
        <v>200</v>
      </c>
      <c r="C24" s="53" t="n">
        <v>600</v>
      </c>
      <c r="D24" s="54" t="s">
        <v>119</v>
      </c>
      <c r="E24" s="55" t="s">
        <v>120</v>
      </c>
    </row>
    <row r="25" customFormat="false" ht="21.75" hidden="false" customHeight="true" outlineLevel="0" collapsed="false">
      <c r="A25" s="35" t="s">
        <v>121</v>
      </c>
      <c r="B25" s="56" t="n">
        <v>600</v>
      </c>
      <c r="C25" s="56" t="n">
        <v>1500</v>
      </c>
      <c r="D25" s="57" t="s">
        <v>122</v>
      </c>
      <c r="E25" s="58" t="s">
        <v>123</v>
      </c>
    </row>
    <row r="26" customFormat="false" ht="21.75" hidden="false" customHeight="true" outlineLevel="0" collapsed="false">
      <c r="A26" s="32" t="s">
        <v>124</v>
      </c>
      <c r="B26" s="53" t="n">
        <v>200</v>
      </c>
      <c r="C26" s="53" t="n">
        <v>500</v>
      </c>
      <c r="D26" s="54" t="s">
        <v>125</v>
      </c>
      <c r="E26" s="55" t="s">
        <v>126</v>
      </c>
    </row>
    <row r="29" customFormat="false" ht="19.5" hidden="false" customHeight="true" outlineLevel="0" collapsed="false">
      <c r="A29" s="30" t="s">
        <v>127</v>
      </c>
      <c r="B29" s="30"/>
      <c r="C29" s="30"/>
      <c r="D29" s="30"/>
      <c r="E29" s="30"/>
    </row>
    <row r="30" customFormat="false" ht="15" hidden="false" customHeight="false" outlineLevel="0" collapsed="false">
      <c r="A30" s="31" t="s">
        <v>32</v>
      </c>
      <c r="B30" s="31" t="s">
        <v>128</v>
      </c>
      <c r="C30" s="31" t="s">
        <v>129</v>
      </c>
      <c r="D30" s="31" t="s">
        <v>35</v>
      </c>
      <c r="E30" s="31"/>
    </row>
    <row r="31" customFormat="false" ht="21.75" hidden="false" customHeight="true" outlineLevel="0" collapsed="false">
      <c r="A31" s="32" t="s">
        <v>130</v>
      </c>
      <c r="B31" s="59" t="s">
        <v>131</v>
      </c>
      <c r="C31" s="59" t="s">
        <v>132</v>
      </c>
      <c r="D31" s="34" t="s">
        <v>133</v>
      </c>
      <c r="E31" s="34"/>
    </row>
    <row r="32" customFormat="false" ht="21.75" hidden="false" customHeight="true" outlineLevel="0" collapsed="false">
      <c r="A32" s="35" t="s">
        <v>134</v>
      </c>
      <c r="B32" s="60" t="s">
        <v>132</v>
      </c>
      <c r="C32" s="60" t="s">
        <v>135</v>
      </c>
      <c r="D32" s="36" t="s">
        <v>136</v>
      </c>
      <c r="E32" s="36"/>
    </row>
    <row r="33" customFormat="false" ht="21.75" hidden="false" customHeight="true" outlineLevel="0" collapsed="false">
      <c r="A33" s="32" t="s">
        <v>137</v>
      </c>
      <c r="B33" s="59" t="s">
        <v>135</v>
      </c>
      <c r="C33" s="59" t="s">
        <v>138</v>
      </c>
      <c r="D33" s="34" t="s">
        <v>139</v>
      </c>
      <c r="E33" s="34"/>
    </row>
    <row r="34" customFormat="false" ht="21.75" hidden="false" customHeight="true" outlineLevel="0" collapsed="false">
      <c r="A34" s="35" t="s">
        <v>140</v>
      </c>
      <c r="B34" s="60" t="s">
        <v>138</v>
      </c>
      <c r="C34" s="60" t="s">
        <v>141</v>
      </c>
      <c r="D34" s="36" t="s">
        <v>142</v>
      </c>
      <c r="E34" s="36"/>
    </row>
    <row r="37" customFormat="false" ht="15" hidden="false" customHeight="false" outlineLevel="0" collapsed="false">
      <c r="A37" s="61" t="s">
        <v>143</v>
      </c>
      <c r="B37" s="61"/>
      <c r="C37" s="61"/>
      <c r="D37" s="61"/>
      <c r="E37" s="61"/>
    </row>
  </sheetData>
  <mergeCells count="10">
    <mergeCell ref="A1:E1"/>
    <mergeCell ref="A2:E2"/>
    <mergeCell ref="A3:E3"/>
    <mergeCell ref="A29:E29"/>
    <mergeCell ref="D30:E30"/>
    <mergeCell ref="D31:E31"/>
    <mergeCell ref="D32:E32"/>
    <mergeCell ref="D33:E33"/>
    <mergeCell ref="D34:E34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2026-05-31T17:59:36Z</dcterms:created>
  <dc:creator>openpyxl</dc:creator>
  <dc:description/>
  <dc:language>en-US</dc:language>
  <cp:lastModifiedBy/>
  <dcterms:modified xsi:type="dcterms:W3CDTF">2026-05-31T17:59:36Z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